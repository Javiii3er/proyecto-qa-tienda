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Javier Rivera\Documents\Proyecto IS\Proyecto QA - Grupo 7\"/>
    </mc:Choice>
  </mc:AlternateContent>
  <xr:revisionPtr revIDLastSave="0" documentId="13_ncr:1_{1D91968F-DC6F-46E0-9941-872418632FA9}" xr6:coauthVersionLast="47" xr6:coauthVersionMax="47" xr10:uidLastSave="{00000000-0000-0000-0000-000000000000}"/>
  <bookViews>
    <workbookView xWindow="-120" yWindow="-120" windowWidth="20730" windowHeight="11040" xr2:uid="{00000000-000D-0000-FFFF-FFFF00000000}"/>
  </bookViews>
  <sheets>
    <sheet name="Suite de pruebas" sheetId="1" r:id="rId1"/>
    <sheet name="Resume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9" i="2" l="1"/>
  <c r="D9" i="2"/>
  <c r="C9" i="2"/>
  <c r="B9" i="2"/>
  <c r="E8" i="2"/>
  <c r="D8" i="2"/>
  <c r="C8" i="2"/>
  <c r="B8" i="2"/>
  <c r="E7" i="2"/>
  <c r="D7" i="2"/>
  <c r="C7" i="2"/>
  <c r="B7" i="2"/>
  <c r="E6" i="2"/>
  <c r="D6" i="2"/>
  <c r="C6" i="2"/>
  <c r="B6" i="2"/>
  <c r="E5" i="2"/>
  <c r="D5" i="2"/>
  <c r="C5" i="2"/>
  <c r="B5" i="2"/>
  <c r="E4" i="2"/>
  <c r="D4" i="2"/>
  <c r="D10" i="2" s="1"/>
  <c r="C4" i="2"/>
  <c r="F4" i="2" s="1"/>
  <c r="B4" i="2"/>
  <c r="B10" i="2" s="1"/>
  <c r="F7" i="2" l="1"/>
  <c r="F6" i="2"/>
  <c r="F8" i="2"/>
  <c r="E10" i="2"/>
  <c r="F5" i="2"/>
  <c r="F9" i="2"/>
  <c r="C10" i="2"/>
  <c r="B13" i="2" s="1"/>
  <c r="B12" i="2" l="1"/>
  <c r="F10" i="2"/>
</calcChain>
</file>

<file path=xl/sharedStrings.xml><?xml version="1.0" encoding="utf-8"?>
<sst xmlns="http://schemas.openxmlformats.org/spreadsheetml/2006/main" count="212" uniqueCount="178">
  <si>
    <t>OK</t>
  </si>
  <si>
    <t>ID</t>
  </si>
  <si>
    <t>Caso de prueba</t>
  </si>
  <si>
    <t>Prioridad</t>
  </si>
  <si>
    <t>Precondiciones</t>
  </si>
  <si>
    <t>Datos de entrada</t>
  </si>
  <si>
    <t>Pasos</t>
  </si>
  <si>
    <t>Resultados Esperado</t>
  </si>
  <si>
    <t>Resultado Obtenido</t>
  </si>
  <si>
    <t>Estado prueba</t>
  </si>
  <si>
    <t>Evidencia</t>
  </si>
  <si>
    <t>FALLO</t>
  </si>
  <si>
    <t>AREA FUNCIONAL: F01 — REGISTRO DE USUARIO</t>
  </si>
  <si>
    <t>BLOQUEADO</t>
  </si>
  <si>
    <t>TC-R01</t>
  </si>
  <si>
    <t>Registro válido con todos los datos requeridos</t>
  </si>
  <si>
    <t>Alta</t>
  </si>
  <si>
    <t>1. Acceso a internet y navegador
2. No tener sesión iniciada en el sitio</t>
  </si>
  <si>
    <t>First Name: Javier
Last Name: Prueba
E-Mail: grupo7.manual.javier@example.com
Telephone: 55551234
Password: Manual2026!
Password Confirm: Manual2026!
Privacy Policy: marcado</t>
  </si>
  <si>
    <t>1. Ingresar a https://opencart.abstracta.us
2. Clic en "My Account" &gt; "Register"
3. Llenar los campos con los datos de entrada
4. Marcar "Privacy Policy"
5. Clic en "Continue"
6. Clic en "My Account" &gt; "Logout"
7. Iniciar sesión con el E-Mail y Password registrados</t>
  </si>
  <si>
    <t>Se muestra la página "Your Account Has Been Created!". Después de cerrar sesión, el inicio de sesión con las credenciales registradas lleva a "My Account".</t>
  </si>
  <si>
    <t>TC-R01.png</t>
  </si>
  <si>
    <t>TC-R02</t>
  </si>
  <si>
    <t>Registro con campos obligatorios vacíos</t>
  </si>
  <si>
    <t>Media</t>
  </si>
  <si>
    <t>1. Acceso a internet y navegador
2. No tener sesión iniciada</t>
  </si>
  <si>
    <t>Todos los campos vacíos
Privacy Policy: marcado</t>
  </si>
  <si>
    <t>1. Ingresar a https://opencart.abstracta.us/index.php?route=account/register
2. Dejar todos los campos vacíos
3. Marcar "Privacy Policy"
4. Clic en "Continue"</t>
  </si>
  <si>
    <t>No se crea la cuenta y se muestra un mensaje de error debajo de cada campo obligatorio: First Name, Last Name, E-Mail, Telephone y Password.</t>
  </si>
  <si>
    <t>TC-R02.png</t>
  </si>
  <si>
    <t>TC-R03</t>
  </si>
  <si>
    <t>Registro con contraseñas que no coinciden</t>
  </si>
  <si>
    <t>First Name: Javier
Last Name: Prueba
E-Mail: grupo7.r03@example.com
Telephone: 55551234
Password: Clave2026!
Password Confirm: Clave2027!</t>
  </si>
  <si>
    <t>1. Ingresar a https://opencart.abstracta.us/index.php?route=account/register
2. Llenar los campos con los datos de entrada
3. Marcar "Privacy Policy"
4. Clic en "Continue"</t>
  </si>
  <si>
    <t>No se crea la cuenta y se muestra el mensaje "Password confirmation does not match password!" debajo de "Password Confirm".</t>
  </si>
  <si>
    <t>TC-R03.png</t>
  </si>
  <si>
    <t>TC-R04</t>
  </si>
  <si>
    <t>Registro con un email ya utilizado</t>
  </si>
  <si>
    <t>1. TC-R01 ejecutado (la cuenta ya existe)
2. No tener sesión iniciada</t>
  </si>
  <si>
    <t>First Name: Javier
Last Name: Duplicado
E-Mail: grupo7.manual.javier@example.com
Telephone: 55551234
Password: Otra2026!
Password Confirm: Otra2026!</t>
  </si>
  <si>
    <t>No se crea una segunda cuenta y se muestra el mensaje "Warning: E-Mail Address is already registered!".</t>
  </si>
  <si>
    <t>TC-R04.png</t>
  </si>
  <si>
    <t>TC-R05</t>
  </si>
  <si>
    <t>Nombre en el límite de longitud (valores en la frontera: 32 y 33 caracteres)</t>
  </si>
  <si>
    <t>Baja</t>
  </si>
  <si>
    <t>First Name (32): Abcdefghijabcdefghijabcdefghijab
First Name (33): Abcdefghijabcdefghijabcdefghijabc
Password: Clave2026!
Password Confirm: Distinta2026! (distinta a propósito para no crear la cuenta)
Resto de campos válidos</t>
  </si>
  <si>
    <t>1. Ingresar a https://opencart.abstracta.us/index.php?route=account/register
2. Escribir el nombre de 32 caracteres y llenar el resto de campos
3. Clic en "Continue" y revisar el campo First Name
4. Repetir con el nombre de 33 caracteres</t>
  </si>
  <si>
    <t>Con 32 caracteres, First Name no muestra error (solo aparece el de la confirmación). Con 33 caracteres se muestra "First Name must be between 1 and 32 characters!".</t>
  </si>
  <si>
    <t>TC-R05.png</t>
  </si>
  <si>
    <t>TC-R06</t>
  </si>
  <si>
    <t>Teléfono con letras y símbolos (partición de equivalencia: clase inválida)</t>
  </si>
  <si>
    <t>First Name: Prueba
Last Name: Grupo7
E-Mail: grupo7.evidencia@example.com
Telephone: abc-xyz
Password: Clave2026!
Password Confirm: Distinta2026! (distinta a propósito para no crear la cuenta)</t>
  </si>
  <si>
    <t>1. Ingresar a https://opencart.abstracta.us/index.php?route=account/register
2. Llenar los campos con los datos de entrada
3. Marcar "Privacy Policy"
4. Clic en "Continue" y revisar el campo Telephone</t>
  </si>
  <si>
    <t>Se muestra un mensaje de error en Telephone indicando que solo admite números.</t>
  </si>
  <si>
    <t>TC-R06.png</t>
  </si>
  <si>
    <t>TC-R07</t>
  </si>
  <si>
    <t>Contraseña trivial de 4 dígitos (partición de equivalencia: clase inválida)</t>
  </si>
  <si>
    <t>First Name: Prueba
Last Name: Grupo7
E-Mail: grupo7.evidencia@example.com
Telephone: 55551234
Password: 1234
Password Confirm: 9999 (distinta a propósito para no crear la cuenta)</t>
  </si>
  <si>
    <t>1. Ingresar a https://opencart.abstracta.us/index.php?route=account/register
2. Llenar los campos con los datos de entrada
3. Marcar "Privacy Policy"
4. Clic en "Continue" y revisar el campo Password</t>
  </si>
  <si>
    <t>Se muestra un mensaje en Password indicando los requisitos mínimos de seguridad (longitud y combinación de letras y números).</t>
  </si>
  <si>
    <t>TC-R07.png</t>
  </si>
  <si>
    <t>AREA FUNCIONAL: F02/F03 — INICIO Y CIERRE DE SESIÓN</t>
  </si>
  <si>
    <t>TC-L01</t>
  </si>
  <si>
    <t>Inicio de sesión con credenciales válidas</t>
  </si>
  <si>
    <t>1. TC-R01 ejecutado (la cuenta existe)
2. No tener sesión iniciada</t>
  </si>
  <si>
    <t>E-Mail: grupo7.manual.javier@example.com
Password: Manual2026!</t>
  </si>
  <si>
    <t>1. Ingresar a https://opencart.abstracta.us
2. Clic en "My Account" &gt; "Login"
3. Escribir el E-Mail y el Password
4. Clic en "Login"</t>
  </si>
  <si>
    <t>Se redirige a la página "My Account" con las opciones de la cuenta (Edit Account, Password, etc.).</t>
  </si>
  <si>
    <t>TC-L01.png</t>
  </si>
  <si>
    <t>TC-L02</t>
  </si>
  <si>
    <t>Inicio de sesión con contraseña incorrecta</t>
  </si>
  <si>
    <t>1. TC-R01 ejecutado
2. No tener sesión iniciada
Nota: no repetir más de 4 veces seguidas (el sitio bloquea el email 1 hora)</t>
  </si>
  <si>
    <t>E-Mail: grupo7.manual.javier@example.com
Password: Incorrecta99!</t>
  </si>
  <si>
    <t>1. Ingresar a https://opencart.abstracta.us/index.php?route=account/login
2. Escribir el E-Mail y el Password incorrecto
3. Clic en "Login"</t>
  </si>
  <si>
    <t>No se inicia sesión y se muestra el mensaje "Warning: No match for E-Mail Address and/or Password.".</t>
  </si>
  <si>
    <t>TC-L02.png</t>
  </si>
  <si>
    <t>TC-L03</t>
  </si>
  <si>
    <t>Cierre de sesión y verificación de redirección</t>
  </si>
  <si>
    <t>1. Sesión iniciada con la cuenta de TC-R01</t>
  </si>
  <si>
    <t>No aplica</t>
  </si>
  <si>
    <t>1. Estando en "My Account", clic en "Logout" (menú lateral)
2. Verificar la página mostrada
3. Ingresar a https://opencart.abstracta.us/index.php?route=account/account</t>
  </si>
  <si>
    <t>Se muestra la página "Account Logout". Al intentar entrar a "My Account" después de cerrar sesión, el sitio redirige a la página de Login.</t>
  </si>
  <si>
    <t>TC-L03.png</t>
  </si>
  <si>
    <t>AREA FUNCIONAL: F04/F05 — PERFIL Y CONTRASEÑA</t>
  </si>
  <si>
    <t>TC-P01</t>
  </si>
  <si>
    <t>Actualizar el teléfono del perfil y verificar que persiste</t>
  </si>
  <si>
    <t>Telephone: 55559876</t>
  </si>
  <si>
    <t>1. En "My Account", clic en "Edit Account"
2. Cambiar Telephone por el dato de entrada
3. Clic en "Continue"
4. Volver a "Edit Account" y revisar el campo Telephone</t>
  </si>
  <si>
    <t>Se muestra "Success: Your account has been successfully updated." y al volver a "Edit Account" el teléfono es 55559876.</t>
  </si>
  <si>
    <t>TC-P01.png</t>
  </si>
  <si>
    <t>TC-P02</t>
  </si>
  <si>
    <t>Dejar el campo First Name vacío al editar el perfil</t>
  </si>
  <si>
    <t>First Name: (vacío)</t>
  </si>
  <si>
    <t>1. En "My Account", clic en "Edit Account"
2. Borrar el contenido de First Name
3. Clic en "Continue"</t>
  </si>
  <si>
    <t>No se guardan los cambios y se muestra "First Name must be between 1 and 32 characters!" debajo del campo.</t>
  </si>
  <si>
    <t>TC-P02.png</t>
  </si>
  <si>
    <t>TC-P03</t>
  </si>
  <si>
    <t>Cambio de contraseña exitoso</t>
  </si>
  <si>
    <t>1. Sesión iniciada con la cuenta de TC-R01
2. Ejecutar al final: cambia la contraseña de la cuenta</t>
  </si>
  <si>
    <t>Contraseña actual: Manual2026!
Nueva contraseña: Manual2026!B
Confirmación: Manual2026!B</t>
  </si>
  <si>
    <t>1. En "My Account", clic en "Password"
2. Escribir la nueva contraseña y su confirmación
3. Clic en "Continue"
4. Cerrar sesión
5. Intentar iniciar sesión con la contraseña anterior
6. Iniciar sesión con la contraseña nueva</t>
  </si>
  <si>
    <t>Se muestra "Success: Your password has been successfully updated.". La contraseña anterior es rechazada y la nueva permite entrar a "My Account".</t>
  </si>
  <si>
    <t>TC-P03.png</t>
  </si>
  <si>
    <t>AREA FUNCIONAL: F06 — CALIFICACIÓN DE PRODUCTO</t>
  </si>
  <si>
    <t>TC-V01</t>
  </si>
  <si>
    <t>Calificar un producto con 5 estrellas y enviar una reseña</t>
  </si>
  <si>
    <t>1. Acceso a internet y navegador
2. No es necesario iniciar sesión</t>
  </si>
  <si>
    <t>Producto: Samsung Galaxy Tab 10.1
Your Name: Karla Prueba
Your Review: Reseña de prueba del Grupo 7 con calificación de cinco estrellas.
Rating: 5 (Good)</t>
  </si>
  <si>
    <t>1. Ingresar a https://opencart.abstracta.us/index.php?route=product/product&amp;product_id=49
2. Clic en la pestaña "Reviews"
3. Escribir Your Name y Your Review
4. Seleccionar la calificación 5 (Good)
5. Clic en "Continue"</t>
  </si>
  <si>
    <t>Se muestra el mensaje "Thank you for your review. It has been submitted to the webmaster for approval." y el formulario se limpia.</t>
  </si>
  <si>
    <t>TC-V01.png</t>
  </si>
  <si>
    <t>TC-V02</t>
  </si>
  <si>
    <t>Enviar una reseña sin seleccionar calificación</t>
  </si>
  <si>
    <t>1. Acceso a internet y navegador</t>
  </si>
  <si>
    <t>Producto: Samsung Galaxy Tab 10.1
Your Name: Karla Prueba
Your Review: Reseña de prueba del Grupo 7 sin seleccionar calificación.
Rating: (ninguna)</t>
  </si>
  <si>
    <t>1. Ingresar a https://opencart.abstracta.us/index.php?route=product/product&amp;product_id=49
2. Clic en la pestaña "Reviews"
3. Escribir Your Name y Your Review
4. No seleccionar ninguna calificación
5. Clic en "Continue"</t>
  </si>
  <si>
    <t>La reseña no se envía y se muestra el mensaje "Warning: Please select a review rating!".</t>
  </si>
  <si>
    <t>TC-V02.png</t>
  </si>
  <si>
    <t>AREA FUNCIONAL: F07 — RESEÑA DE PRODUCTO</t>
  </si>
  <si>
    <t>TC-C01</t>
  </si>
  <si>
    <t>Agregar una reseña válida con nombre y comentario</t>
  </si>
  <si>
    <t>Producto: Samsung Galaxy Tab 10.1
Your Name: Karla Prueba
Your Review: La tablet tiene buena pantalla y la batería dura todo el día.
Rating: 4</t>
  </si>
  <si>
    <t>1. Ingresar a https://opencart.abstracta.us/index.php?route=product/product&amp;product_id=49
2. Clic en la pestaña "Reviews"
3. Escribir Your Name y Your Review
4. Seleccionar la calificación 4
5. Clic en "Continue"</t>
  </si>
  <si>
    <t>Se muestra el mensaje de confirmación "Thank you for your review. It has been submitted to the webmaster for approval.".</t>
  </si>
  <si>
    <t>TC-C01.png</t>
  </si>
  <si>
    <t>TC-C02</t>
  </si>
  <si>
    <t>Enviar una reseña sin texto en el comentario</t>
  </si>
  <si>
    <t>Producto: Samsung Galaxy Tab 10.1
Your Name: Karla Prueba
Your Review: (vacío)
Rating: 3</t>
  </si>
  <si>
    <t>1. Ingresar a https://opencart.abstracta.us/index.php?route=product/product&amp;product_id=49
2. Clic en la pestaña "Reviews"
3. Escribir solo Your Name y dejar Your Review vacío
4. Seleccionar la calificación 3
5. Clic en "Continue"</t>
  </si>
  <si>
    <t>La reseña no se envía y se muestra el mensaje "Warning: Review Text must be between 25 and 1000 characters!".</t>
  </si>
  <si>
    <t>TC-C02.png</t>
  </si>
  <si>
    <t>AREA FUNCIONAL: F08/F09 — NAVEGACIÓN, BÚSQUEDA Y ERRORES</t>
  </si>
  <si>
    <t>TC-N01</t>
  </si>
  <si>
    <t>Navegar por las categorías del menú</t>
  </si>
  <si>
    <t>Categorías: Desktops, Laptops &amp; Notebooks, Components, Tablets, Software, Phones &amp; PDAs, Cameras, MP3 Players</t>
  </si>
  <si>
    <t>1. Ingresar a https://opencart.abstracta.us
2. En el menú superior, abrir cada categoría (en las que tienen submenú, clic en "Show All ...")
3. En cada una, comparar el contador del menú lateral con el texto "Showing ... of ..." del final</t>
  </si>
  <si>
    <t>Todas las categorías cargan sin errores visibles y el contador del menú lateral coincide con la cantidad de productos listados.</t>
  </si>
  <si>
    <t>TC-N01.png</t>
  </si>
  <si>
    <t>TC-N02</t>
  </si>
  <si>
    <t>Buscar un producto por nombre</t>
  </si>
  <si>
    <t>Texto a buscar: iPhone</t>
  </si>
  <si>
    <t>1. Ingresar a https://opencart.abstracta.us
2. Escribir "iPhone" en el buscador del encabezado
3. Presionar Enter</t>
  </si>
  <si>
    <t>La página "Search - iPhone" muestra el producto iPhone y todos los resultados contienen "iPhone" en el nombre o la descripción.</t>
  </si>
  <si>
    <t>TC-N02.png</t>
  </si>
  <si>
    <t>TC-N03</t>
  </si>
  <si>
    <t>Dejar campos obligatorios vacíos en el formulario de contacto</t>
  </si>
  <si>
    <t>Your Name: (vacío)
E-Mail Address: (vacío)
Enquiry: (vacío)</t>
  </si>
  <si>
    <t>1. Ingresar a https://opencart.abstracta.us
2. Clic en "Contact Us" (pie de página)
3. Dejar todos los campos vacíos
4. Clic en "Submit"</t>
  </si>
  <si>
    <t>No se envía el mensaje y se muestra un error debajo de cada campo: "Name must be between 3 and 32 characters!", "E-Mail Address does not appear to be valid!" y "Enquiry must be between 10 and 3000 characters!".</t>
  </si>
  <si>
    <t>TC-N03.png</t>
  </si>
  <si>
    <t>TC-N04</t>
  </si>
  <si>
    <t>Ingresar caracteres especiales en campos de texto libre</t>
  </si>
  <si>
    <t>Texto a buscar: %</t>
  </si>
  <si>
    <t>1. Ingresar a https://opencart.abstracta.us
2. Escribir "%" en el buscador del encabezado
3. Presionar Enter</t>
  </si>
  <si>
    <t>El sistema trata "%" como texto y muestra "There is no product that matches the search criteria.", sin errores.</t>
  </si>
  <si>
    <t>TC-N04.png</t>
  </si>
  <si>
    <t>RESUMEN DE EJECUCIÓN — se actualiza solo al llenar la columna "Estado prueba"</t>
  </si>
  <si>
    <t>Funcionalidad</t>
  </si>
  <si>
    <t>Casos</t>
  </si>
  <si>
    <t>Sin ejecutar</t>
  </si>
  <si>
    <t>F01 — Registro</t>
  </si>
  <si>
    <t>F02/F03 — Sesión</t>
  </si>
  <si>
    <t>F04/F05 — Perfil</t>
  </si>
  <si>
    <t>F06 — Calificación</t>
  </si>
  <si>
    <t>F07 — Reseña</t>
  </si>
  <si>
    <t>F08/F09 — Navegación y errores</t>
  </si>
  <si>
    <t>TOTAL</t>
  </si>
  <si>
    <t>Porcentaje de casos ejecutados</t>
  </si>
  <si>
    <t>Porcentaje de casos OK (sobre ejecutados)</t>
  </si>
  <si>
    <t>CÓMO LLENAR ESTE ARCHIVO</t>
  </si>
  <si>
    <t>1. Ejecutar cada caso en el sitio siguiendo sus pasos (grabando el video individual de pruebas manuales).</t>
  </si>
  <si>
    <t>2. "Resultado Obtenido": escribir lo que realmente ocurrió (y pegar la captura si se desea, como en la plantilla).</t>
  </si>
  <si>
    <t>3. "Estado prueba": elegir OK, FALLO o BLOQUEADO en la lista desplegable.</t>
  </si>
  <si>
    <t>4. "Evidencia": guardar la captura con el nombre indicado (por ejemplo TC-R01.png) en la carpeta evidencias/.</t>
  </si>
  <si>
    <t>5. Casos TC-R01 a TC-P03: los ejecuta Javier. Casos TC-V01 a TC-N04: los ejecuta Karla. Cada uno graba su video individual.</t>
  </si>
  <si>
    <t>Cuenta manual del grupo (creada en TC-R01): grupo7.manual.javier@example.com · contraseña Manual2026! (TC-P03 la cambia a Manual2026!B).</t>
  </si>
  <si>
    <t>Si un caso de registro se ejecuta solo para ver validaciones, usar una confirmación de contraseña distinta: así no se crean cuentas de más (sección 13).</t>
  </si>
  <si>
    <t xml:space="preserve">SUITE DE PRUEBAS - OPENCART DEMO (ABSTRACTA) · GRUPO 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</si>
</sst>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1"/>
      <color theme="1"/>
      <name val="Calibri"/>
      <family val="2"/>
      <scheme val="minor"/>
    </font>
    <font>
      <b/>
      <sz val="13"/>
      <name val="Calibri"/>
    </font>
    <font>
      <b/>
      <sz val="11"/>
      <name val="Calibri"/>
    </font>
    <font>
      <sz val="11"/>
      <name val="Calibri"/>
    </font>
    <font>
      <sz val="12"/>
      <color theme="1"/>
      <name val="Georgia"/>
      <family val="1"/>
    </font>
    <font>
      <b/>
      <sz val="12"/>
      <color theme="1"/>
      <name val="Georgia"/>
      <family val="1"/>
    </font>
    <font>
      <sz val="16"/>
      <color theme="0"/>
      <name val="Georgia"/>
      <family val="1"/>
    </font>
    <font>
      <sz val="16"/>
      <color theme="1"/>
      <name val="Georgia"/>
      <family val="1"/>
    </font>
  </fonts>
  <fills count="5">
    <fill>
      <patternFill patternType="none"/>
    </fill>
    <fill>
      <patternFill patternType="gray125"/>
    </fill>
    <fill>
      <patternFill patternType="solid">
        <fgColor theme="9" tint="0.39997558519241921"/>
        <bgColor indexed="64"/>
      </patternFill>
    </fill>
    <fill>
      <patternFill patternType="solid">
        <fgColor theme="1" tint="0.34998626667073579"/>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2" borderId="0" xfId="0" applyFont="1" applyFill="1" applyAlignment="1">
      <alignment horizontal="center" wrapText="1"/>
    </xf>
    <xf numFmtId="0" fontId="0" fillId="0" borderId="0" xfId="0" applyAlignment="1">
      <alignment horizontal="left" wrapText="1"/>
    </xf>
    <xf numFmtId="0" fontId="0" fillId="0" borderId="0" xfId="0" applyAlignment="1">
      <alignment wrapText="1"/>
    </xf>
    <xf numFmtId="0" fontId="2" fillId="0" borderId="0" xfId="0" applyFont="1"/>
    <xf numFmtId="0" fontId="3" fillId="0" borderId="0" xfId="0" applyFont="1"/>
    <xf numFmtId="164" fontId="0" fillId="0" borderId="0" xfId="0" applyNumberFormat="1"/>
    <xf numFmtId="0" fontId="4" fillId="0" borderId="0" xfId="0" applyFont="1"/>
    <xf numFmtId="0" fontId="5" fillId="0" borderId="0" xfId="0" applyFont="1" applyAlignment="1">
      <alignment wrapText="1"/>
    </xf>
    <xf numFmtId="0" fontId="5" fillId="0" borderId="0" xfId="0" applyFont="1"/>
    <xf numFmtId="0" fontId="8" fillId="0" borderId="0" xfId="0" applyFont="1" applyAlignment="1">
      <alignment wrapText="1"/>
    </xf>
    <xf numFmtId="0" fontId="5" fillId="0" borderId="0" xfId="0" applyFont="1" applyAlignment="1">
      <alignment vertical="center" wrapText="1"/>
    </xf>
    <xf numFmtId="0" fontId="6"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6" fillId="4" borderId="1" xfId="0" applyFont="1" applyFill="1" applyBorder="1" applyAlignment="1">
      <alignment horizontal="left" wrapText="1"/>
    </xf>
    <xf numFmtId="0" fontId="5" fillId="0" borderId="1" xfId="0" applyFont="1" applyBorder="1" applyAlignment="1">
      <alignment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8" fillId="0" borderId="0" xfId="0" applyFont="1" applyBorder="1" applyAlignment="1">
      <alignment wrapText="1"/>
    </xf>
    <xf numFmtId="0" fontId="5" fillId="0" borderId="0" xfId="0" applyFont="1" applyBorder="1" applyAlignment="1">
      <alignment vertical="center" wrapText="1"/>
    </xf>
    <xf numFmtId="0" fontId="5" fillId="0" borderId="0" xfId="0" applyFont="1" applyBorder="1" applyAlignment="1">
      <alignment wrapText="1"/>
    </xf>
    <xf numFmtId="0" fontId="0" fillId="0" borderId="0" xfId="0" applyBorder="1" applyAlignment="1">
      <alignment wrapText="1"/>
    </xf>
    <xf numFmtId="0" fontId="7" fillId="3" borderId="1" xfId="0" applyFont="1" applyFill="1" applyBorder="1" applyAlignment="1">
      <alignment horizontal="center" wrapText="1"/>
    </xf>
    <xf numFmtId="0" fontId="8" fillId="0" borderId="1" xfId="0" applyFont="1" applyBorder="1" applyAlignment="1">
      <alignment wrapText="1"/>
    </xf>
  </cellXfs>
  <cellStyles count="1">
    <cellStyle name="Normal" xfId="0" builtinId="0"/>
  </cellStyles>
  <dxfs count="3">
    <dxf>
      <fill>
        <patternFill>
          <bgColor rgb="FFD9D9D9"/>
        </patternFill>
      </fill>
    </dxf>
    <dxf>
      <fill>
        <patternFill>
          <bgColor rgb="FFFF9999"/>
        </patternFill>
      </fill>
    </dxf>
    <dxf>
      <fill>
        <patternFill>
          <bgColor rgb="FFA9D08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9"/>
  <sheetViews>
    <sheetView tabSelected="1" zoomScale="90" zoomScaleNormal="90" workbookViewId="0">
      <pane ySplit="2" topLeftCell="A18" activePane="bottomLeft" state="frozen"/>
      <selection activeCell="A2" sqref="A2"/>
      <selection pane="bottomLeft" activeCell="E4" sqref="E4"/>
    </sheetView>
  </sheetViews>
  <sheetFormatPr baseColWidth="10" defaultColWidth="14" defaultRowHeight="15" x14ac:dyDescent="0.25"/>
  <cols>
    <col min="1" max="1" width="9" style="2" customWidth="1"/>
    <col min="2" max="2" width="24.42578125" style="3" customWidth="1"/>
    <col min="3" max="3" width="12.5703125" style="3" customWidth="1"/>
    <col min="4" max="4" width="19.42578125" style="3" customWidth="1"/>
    <col min="5" max="5" width="29.140625" style="3" customWidth="1"/>
    <col min="6" max="6" width="45" style="3" customWidth="1"/>
    <col min="7" max="7" width="36.28515625" style="3" customWidth="1"/>
    <col min="8" max="8" width="38.7109375" style="3" customWidth="1"/>
    <col min="9" max="9" width="19.140625" style="3" customWidth="1"/>
    <col min="10" max="10" width="14" style="3" customWidth="1"/>
    <col min="11" max="12" width="14" style="21"/>
    <col min="13" max="16384" width="14" style="3"/>
  </cols>
  <sheetData>
    <row r="1" spans="1:13" s="10" customFormat="1" ht="18" customHeight="1" x14ac:dyDescent="0.3">
      <c r="A1" s="22" t="s">
        <v>177</v>
      </c>
      <c r="B1" s="23"/>
      <c r="C1" s="23"/>
      <c r="D1" s="23"/>
      <c r="E1" s="23"/>
      <c r="F1" s="23"/>
      <c r="G1" s="23"/>
      <c r="H1" s="23"/>
      <c r="I1" s="23"/>
      <c r="J1" s="22"/>
      <c r="K1" s="18"/>
      <c r="L1" s="18"/>
      <c r="M1" s="10" t="s">
        <v>0</v>
      </c>
    </row>
    <row r="2" spans="1:13" s="11" customFormat="1" ht="28.9" customHeight="1" x14ac:dyDescent="0.25">
      <c r="A2" s="12" t="s">
        <v>1</v>
      </c>
      <c r="B2" s="13" t="s">
        <v>2</v>
      </c>
      <c r="C2" s="13" t="s">
        <v>3</v>
      </c>
      <c r="D2" s="13" t="s">
        <v>4</v>
      </c>
      <c r="E2" s="13" t="s">
        <v>5</v>
      </c>
      <c r="F2" s="13" t="s">
        <v>6</v>
      </c>
      <c r="G2" s="13" t="s">
        <v>7</v>
      </c>
      <c r="H2" s="13" t="s">
        <v>8</v>
      </c>
      <c r="I2" s="13" t="s">
        <v>9</v>
      </c>
      <c r="J2" s="13" t="s">
        <v>10</v>
      </c>
      <c r="K2" s="19"/>
      <c r="L2" s="19"/>
      <c r="M2" s="11" t="s">
        <v>11</v>
      </c>
    </row>
    <row r="3" spans="1:13" s="8" customFormat="1" x14ac:dyDescent="0.2">
      <c r="A3" s="14" t="s">
        <v>12</v>
      </c>
      <c r="B3" s="15"/>
      <c r="C3" s="15"/>
      <c r="D3" s="15"/>
      <c r="E3" s="15"/>
      <c r="F3" s="15"/>
      <c r="G3" s="15"/>
      <c r="H3" s="15"/>
      <c r="I3" s="15"/>
      <c r="J3" s="15"/>
      <c r="K3" s="20"/>
      <c r="L3" s="20"/>
      <c r="M3" s="9" t="s">
        <v>13</v>
      </c>
    </row>
    <row r="4" spans="1:13" s="8" customFormat="1" ht="270" x14ac:dyDescent="0.2">
      <c r="A4" s="16" t="s">
        <v>14</v>
      </c>
      <c r="B4" s="17" t="s">
        <v>15</v>
      </c>
      <c r="C4" s="16" t="s">
        <v>16</v>
      </c>
      <c r="D4" s="17" t="s">
        <v>17</v>
      </c>
      <c r="E4" s="17" t="s">
        <v>18</v>
      </c>
      <c r="F4" s="17" t="s">
        <v>19</v>
      </c>
      <c r="G4" s="17" t="s">
        <v>20</v>
      </c>
      <c r="H4" s="17"/>
      <c r="I4" s="16"/>
      <c r="J4" s="17" t="s">
        <v>21</v>
      </c>
      <c r="K4" s="20"/>
      <c r="L4" s="20"/>
    </row>
    <row r="5" spans="1:13" s="8" customFormat="1" ht="135" x14ac:dyDescent="0.2">
      <c r="A5" s="16" t="s">
        <v>22</v>
      </c>
      <c r="B5" s="17" t="s">
        <v>23</v>
      </c>
      <c r="C5" s="16" t="s">
        <v>24</v>
      </c>
      <c r="D5" s="17" t="s">
        <v>25</v>
      </c>
      <c r="E5" s="17" t="s">
        <v>26</v>
      </c>
      <c r="F5" s="17" t="s">
        <v>27</v>
      </c>
      <c r="G5" s="17" t="s">
        <v>28</v>
      </c>
      <c r="H5" s="17"/>
      <c r="I5" s="16"/>
      <c r="J5" s="17" t="s">
        <v>29</v>
      </c>
      <c r="K5" s="20"/>
      <c r="L5" s="20"/>
    </row>
    <row r="6" spans="1:13" s="8" customFormat="1" ht="210" x14ac:dyDescent="0.2">
      <c r="A6" s="16" t="s">
        <v>30</v>
      </c>
      <c r="B6" s="17" t="s">
        <v>31</v>
      </c>
      <c r="C6" s="16" t="s">
        <v>24</v>
      </c>
      <c r="D6" s="17" t="s">
        <v>25</v>
      </c>
      <c r="E6" s="17" t="s">
        <v>32</v>
      </c>
      <c r="F6" s="17" t="s">
        <v>33</v>
      </c>
      <c r="G6" s="17" t="s">
        <v>34</v>
      </c>
      <c r="H6" s="17"/>
      <c r="I6" s="16"/>
      <c r="J6" s="17" t="s">
        <v>35</v>
      </c>
      <c r="K6" s="20"/>
      <c r="L6" s="20"/>
    </row>
    <row r="7" spans="1:13" s="8" customFormat="1" ht="225" x14ac:dyDescent="0.2">
      <c r="A7" s="16" t="s">
        <v>36</v>
      </c>
      <c r="B7" s="17" t="s">
        <v>37</v>
      </c>
      <c r="C7" s="16" t="s">
        <v>16</v>
      </c>
      <c r="D7" s="17" t="s">
        <v>38</v>
      </c>
      <c r="E7" s="17" t="s">
        <v>39</v>
      </c>
      <c r="F7" s="17" t="s">
        <v>33</v>
      </c>
      <c r="G7" s="17" t="s">
        <v>40</v>
      </c>
      <c r="H7" s="17"/>
      <c r="I7" s="16"/>
      <c r="J7" s="17" t="s">
        <v>41</v>
      </c>
      <c r="K7" s="20"/>
      <c r="L7" s="20"/>
    </row>
    <row r="8" spans="1:13" s="8" customFormat="1" ht="330" x14ac:dyDescent="0.2">
      <c r="A8" s="16" t="s">
        <v>42</v>
      </c>
      <c r="B8" s="17" t="s">
        <v>43</v>
      </c>
      <c r="C8" s="16" t="s">
        <v>44</v>
      </c>
      <c r="D8" s="17" t="s">
        <v>25</v>
      </c>
      <c r="E8" s="17" t="s">
        <v>45</v>
      </c>
      <c r="F8" s="17" t="s">
        <v>46</v>
      </c>
      <c r="G8" s="17" t="s">
        <v>47</v>
      </c>
      <c r="H8" s="17"/>
      <c r="I8" s="16"/>
      <c r="J8" s="17" t="s">
        <v>48</v>
      </c>
      <c r="K8" s="20"/>
      <c r="L8" s="20"/>
    </row>
    <row r="9" spans="1:13" s="8" customFormat="1" ht="285" x14ac:dyDescent="0.2">
      <c r="A9" s="16" t="s">
        <v>49</v>
      </c>
      <c r="B9" s="17" t="s">
        <v>50</v>
      </c>
      <c r="C9" s="16" t="s">
        <v>24</v>
      </c>
      <c r="D9" s="17" t="s">
        <v>25</v>
      </c>
      <c r="E9" s="17" t="s">
        <v>51</v>
      </c>
      <c r="F9" s="17" t="s">
        <v>52</v>
      </c>
      <c r="G9" s="17" t="s">
        <v>53</v>
      </c>
      <c r="H9" s="17"/>
      <c r="I9" s="16"/>
      <c r="J9" s="17" t="s">
        <v>54</v>
      </c>
      <c r="K9" s="20"/>
      <c r="L9" s="20"/>
    </row>
    <row r="10" spans="1:13" s="8" customFormat="1" ht="270" x14ac:dyDescent="0.2">
      <c r="A10" s="16" t="s">
        <v>55</v>
      </c>
      <c r="B10" s="17" t="s">
        <v>56</v>
      </c>
      <c r="C10" s="16" t="s">
        <v>24</v>
      </c>
      <c r="D10" s="17" t="s">
        <v>25</v>
      </c>
      <c r="E10" s="17" t="s">
        <v>57</v>
      </c>
      <c r="F10" s="17" t="s">
        <v>58</v>
      </c>
      <c r="G10" s="17" t="s">
        <v>59</v>
      </c>
      <c r="H10" s="17"/>
      <c r="I10" s="16"/>
      <c r="J10" s="17" t="s">
        <v>60</v>
      </c>
      <c r="K10" s="20"/>
      <c r="L10" s="20"/>
    </row>
    <row r="11" spans="1:13" s="8" customFormat="1" x14ac:dyDescent="0.2">
      <c r="A11" s="14" t="s">
        <v>61</v>
      </c>
      <c r="B11" s="15"/>
      <c r="C11" s="15"/>
      <c r="D11" s="15"/>
      <c r="E11" s="15"/>
      <c r="F11" s="15"/>
      <c r="G11" s="15"/>
      <c r="H11" s="15"/>
      <c r="I11" s="15"/>
      <c r="J11" s="15"/>
      <c r="K11" s="20"/>
      <c r="L11" s="20"/>
    </row>
    <row r="12" spans="1:13" s="8" customFormat="1" ht="120" x14ac:dyDescent="0.2">
      <c r="A12" s="16" t="s">
        <v>62</v>
      </c>
      <c r="B12" s="17" t="s">
        <v>63</v>
      </c>
      <c r="C12" s="16" t="s">
        <v>16</v>
      </c>
      <c r="D12" s="17" t="s">
        <v>64</v>
      </c>
      <c r="E12" s="17" t="s">
        <v>65</v>
      </c>
      <c r="F12" s="17" t="s">
        <v>66</v>
      </c>
      <c r="G12" s="17" t="s">
        <v>67</v>
      </c>
      <c r="H12" s="17"/>
      <c r="I12" s="16"/>
      <c r="J12" s="17" t="s">
        <v>68</v>
      </c>
      <c r="K12" s="20"/>
      <c r="L12" s="20"/>
    </row>
    <row r="13" spans="1:13" s="8" customFormat="1" ht="180" x14ac:dyDescent="0.2">
      <c r="A13" s="16" t="s">
        <v>69</v>
      </c>
      <c r="B13" s="17" t="s">
        <v>70</v>
      </c>
      <c r="C13" s="16" t="s">
        <v>16</v>
      </c>
      <c r="D13" s="17" t="s">
        <v>71</v>
      </c>
      <c r="E13" s="17" t="s">
        <v>72</v>
      </c>
      <c r="F13" s="17" t="s">
        <v>73</v>
      </c>
      <c r="G13" s="17" t="s">
        <v>74</v>
      </c>
      <c r="H13" s="17"/>
      <c r="I13" s="16"/>
      <c r="J13" s="17" t="s">
        <v>75</v>
      </c>
      <c r="K13" s="20"/>
      <c r="L13" s="20"/>
    </row>
    <row r="14" spans="1:13" s="8" customFormat="1" ht="135" x14ac:dyDescent="0.2">
      <c r="A14" s="16" t="s">
        <v>76</v>
      </c>
      <c r="B14" s="17" t="s">
        <v>77</v>
      </c>
      <c r="C14" s="16" t="s">
        <v>16</v>
      </c>
      <c r="D14" s="17" t="s">
        <v>78</v>
      </c>
      <c r="E14" s="17" t="s">
        <v>79</v>
      </c>
      <c r="F14" s="17" t="s">
        <v>80</v>
      </c>
      <c r="G14" s="17" t="s">
        <v>81</v>
      </c>
      <c r="H14" s="17"/>
      <c r="I14" s="16"/>
      <c r="J14" s="17" t="s">
        <v>82</v>
      </c>
      <c r="K14" s="20"/>
      <c r="L14" s="20"/>
    </row>
    <row r="15" spans="1:13" s="8" customFormat="1" x14ac:dyDescent="0.2">
      <c r="A15" s="14" t="s">
        <v>83</v>
      </c>
      <c r="B15" s="15"/>
      <c r="C15" s="15"/>
      <c r="D15" s="15"/>
      <c r="E15" s="15"/>
      <c r="F15" s="15"/>
      <c r="G15" s="15"/>
      <c r="H15" s="15"/>
      <c r="I15" s="15"/>
      <c r="J15" s="15"/>
      <c r="K15" s="20"/>
      <c r="L15" s="20"/>
    </row>
    <row r="16" spans="1:13" s="8" customFormat="1" ht="120" x14ac:dyDescent="0.2">
      <c r="A16" s="16" t="s">
        <v>84</v>
      </c>
      <c r="B16" s="17" t="s">
        <v>85</v>
      </c>
      <c r="C16" s="16" t="s">
        <v>24</v>
      </c>
      <c r="D16" s="17" t="s">
        <v>78</v>
      </c>
      <c r="E16" s="17" t="s">
        <v>86</v>
      </c>
      <c r="F16" s="17" t="s">
        <v>87</v>
      </c>
      <c r="G16" s="17" t="s">
        <v>88</v>
      </c>
      <c r="H16" s="17"/>
      <c r="I16" s="16"/>
      <c r="J16" s="17" t="s">
        <v>89</v>
      </c>
      <c r="K16" s="20"/>
      <c r="L16" s="20"/>
    </row>
    <row r="17" spans="1:12" s="8" customFormat="1" ht="75" x14ac:dyDescent="0.2">
      <c r="A17" s="16" t="s">
        <v>90</v>
      </c>
      <c r="B17" s="17" t="s">
        <v>91</v>
      </c>
      <c r="C17" s="16" t="s">
        <v>24</v>
      </c>
      <c r="D17" s="17" t="s">
        <v>78</v>
      </c>
      <c r="E17" s="17" t="s">
        <v>92</v>
      </c>
      <c r="F17" s="17" t="s">
        <v>93</v>
      </c>
      <c r="G17" s="17" t="s">
        <v>94</v>
      </c>
      <c r="H17" s="17"/>
      <c r="I17" s="16"/>
      <c r="J17" s="17" t="s">
        <v>95</v>
      </c>
      <c r="K17" s="20"/>
      <c r="L17" s="20"/>
    </row>
    <row r="18" spans="1:12" s="8" customFormat="1" ht="180" x14ac:dyDescent="0.2">
      <c r="A18" s="16" t="s">
        <v>96</v>
      </c>
      <c r="B18" s="17" t="s">
        <v>97</v>
      </c>
      <c r="C18" s="16" t="s">
        <v>16</v>
      </c>
      <c r="D18" s="17" t="s">
        <v>98</v>
      </c>
      <c r="E18" s="17" t="s">
        <v>99</v>
      </c>
      <c r="F18" s="17" t="s">
        <v>100</v>
      </c>
      <c r="G18" s="17" t="s">
        <v>101</v>
      </c>
      <c r="H18" s="17"/>
      <c r="I18" s="16"/>
      <c r="J18" s="17" t="s">
        <v>102</v>
      </c>
      <c r="K18" s="20"/>
      <c r="L18" s="20"/>
    </row>
    <row r="19" spans="1:12" s="8" customFormat="1" x14ac:dyDescent="0.2">
      <c r="A19" s="14" t="s">
        <v>103</v>
      </c>
      <c r="B19" s="15"/>
      <c r="C19" s="15"/>
      <c r="D19" s="15"/>
      <c r="E19" s="15"/>
      <c r="F19" s="15"/>
      <c r="G19" s="15"/>
      <c r="H19" s="15"/>
      <c r="I19" s="15"/>
      <c r="J19" s="15"/>
      <c r="K19" s="20"/>
      <c r="L19" s="20"/>
    </row>
    <row r="20" spans="1:12" s="8" customFormat="1" ht="225" x14ac:dyDescent="0.2">
      <c r="A20" s="16" t="s">
        <v>104</v>
      </c>
      <c r="B20" s="17" t="s">
        <v>105</v>
      </c>
      <c r="C20" s="16" t="s">
        <v>16</v>
      </c>
      <c r="D20" s="17" t="s">
        <v>106</v>
      </c>
      <c r="E20" s="17" t="s">
        <v>107</v>
      </c>
      <c r="F20" s="17" t="s">
        <v>108</v>
      </c>
      <c r="G20" s="17" t="s">
        <v>109</v>
      </c>
      <c r="H20" s="17"/>
      <c r="I20" s="16"/>
      <c r="J20" s="17" t="s">
        <v>110</v>
      </c>
      <c r="K20" s="20"/>
      <c r="L20" s="20"/>
    </row>
    <row r="21" spans="1:12" s="8" customFormat="1" ht="210" x14ac:dyDescent="0.2">
      <c r="A21" s="16" t="s">
        <v>111</v>
      </c>
      <c r="B21" s="17" t="s">
        <v>112</v>
      </c>
      <c r="C21" s="16" t="s">
        <v>24</v>
      </c>
      <c r="D21" s="17" t="s">
        <v>113</v>
      </c>
      <c r="E21" s="17" t="s">
        <v>114</v>
      </c>
      <c r="F21" s="17" t="s">
        <v>115</v>
      </c>
      <c r="G21" s="17" t="s">
        <v>116</v>
      </c>
      <c r="H21" s="17"/>
      <c r="I21" s="16"/>
      <c r="J21" s="17" t="s">
        <v>117</v>
      </c>
      <c r="K21" s="20"/>
      <c r="L21" s="20"/>
    </row>
    <row r="22" spans="1:12" s="8" customFormat="1" x14ac:dyDescent="0.2">
      <c r="A22" s="14" t="s">
        <v>118</v>
      </c>
      <c r="B22" s="15"/>
      <c r="C22" s="15"/>
      <c r="D22" s="15"/>
      <c r="E22" s="15"/>
      <c r="F22" s="15"/>
      <c r="G22" s="15"/>
      <c r="H22" s="15"/>
      <c r="I22" s="15"/>
      <c r="J22" s="15"/>
      <c r="K22" s="20"/>
      <c r="L22" s="20"/>
    </row>
    <row r="23" spans="1:12" s="8" customFormat="1" ht="195" x14ac:dyDescent="0.2">
      <c r="A23" s="16" t="s">
        <v>119</v>
      </c>
      <c r="B23" s="17" t="s">
        <v>120</v>
      </c>
      <c r="C23" s="16" t="s">
        <v>16</v>
      </c>
      <c r="D23" s="17" t="s">
        <v>113</v>
      </c>
      <c r="E23" s="17" t="s">
        <v>121</v>
      </c>
      <c r="F23" s="17" t="s">
        <v>122</v>
      </c>
      <c r="G23" s="17" t="s">
        <v>123</v>
      </c>
      <c r="H23" s="17"/>
      <c r="I23" s="16"/>
      <c r="J23" s="17" t="s">
        <v>124</v>
      </c>
      <c r="K23" s="20"/>
      <c r="L23" s="20"/>
    </row>
    <row r="24" spans="1:12" s="8" customFormat="1" ht="195" x14ac:dyDescent="0.2">
      <c r="A24" s="16" t="s">
        <v>125</v>
      </c>
      <c r="B24" s="17" t="s">
        <v>126</v>
      </c>
      <c r="C24" s="16" t="s">
        <v>24</v>
      </c>
      <c r="D24" s="17" t="s">
        <v>113</v>
      </c>
      <c r="E24" s="17" t="s">
        <v>127</v>
      </c>
      <c r="F24" s="17" t="s">
        <v>128</v>
      </c>
      <c r="G24" s="17" t="s">
        <v>129</v>
      </c>
      <c r="H24" s="17"/>
      <c r="I24" s="16"/>
      <c r="J24" s="17" t="s">
        <v>130</v>
      </c>
      <c r="K24" s="20"/>
      <c r="L24" s="20"/>
    </row>
    <row r="25" spans="1:12" s="8" customFormat="1" x14ac:dyDescent="0.2">
      <c r="A25" s="14" t="s">
        <v>131</v>
      </c>
      <c r="B25" s="15"/>
      <c r="C25" s="15"/>
      <c r="D25" s="15"/>
      <c r="E25" s="15"/>
      <c r="F25" s="15"/>
      <c r="G25" s="15"/>
      <c r="H25" s="15"/>
      <c r="I25" s="15"/>
      <c r="J25" s="15"/>
      <c r="K25" s="20"/>
      <c r="L25" s="20"/>
    </row>
    <row r="26" spans="1:12" s="8" customFormat="1" ht="180" x14ac:dyDescent="0.2">
      <c r="A26" s="16" t="s">
        <v>132</v>
      </c>
      <c r="B26" s="17" t="s">
        <v>133</v>
      </c>
      <c r="C26" s="16" t="s">
        <v>24</v>
      </c>
      <c r="D26" s="17" t="s">
        <v>113</v>
      </c>
      <c r="E26" s="17" t="s">
        <v>134</v>
      </c>
      <c r="F26" s="17" t="s">
        <v>135</v>
      </c>
      <c r="G26" s="17" t="s">
        <v>136</v>
      </c>
      <c r="H26" s="17"/>
      <c r="I26" s="16"/>
      <c r="J26" s="17" t="s">
        <v>137</v>
      </c>
      <c r="K26" s="20"/>
      <c r="L26" s="20"/>
    </row>
    <row r="27" spans="1:12" s="8" customFormat="1" ht="90" x14ac:dyDescent="0.2">
      <c r="A27" s="16" t="s">
        <v>138</v>
      </c>
      <c r="B27" s="17" t="s">
        <v>139</v>
      </c>
      <c r="C27" s="16" t="s">
        <v>24</v>
      </c>
      <c r="D27" s="17" t="s">
        <v>113</v>
      </c>
      <c r="E27" s="17" t="s">
        <v>140</v>
      </c>
      <c r="F27" s="17" t="s">
        <v>141</v>
      </c>
      <c r="G27" s="17" t="s">
        <v>142</v>
      </c>
      <c r="H27" s="17"/>
      <c r="I27" s="16"/>
      <c r="J27" s="17" t="s">
        <v>143</v>
      </c>
      <c r="K27" s="20"/>
      <c r="L27" s="20"/>
    </row>
    <row r="28" spans="1:12" s="8" customFormat="1" ht="120" x14ac:dyDescent="0.2">
      <c r="A28" s="16" t="s">
        <v>144</v>
      </c>
      <c r="B28" s="17" t="s">
        <v>145</v>
      </c>
      <c r="C28" s="16" t="s">
        <v>24</v>
      </c>
      <c r="D28" s="17" t="s">
        <v>113</v>
      </c>
      <c r="E28" s="17" t="s">
        <v>146</v>
      </c>
      <c r="F28" s="17" t="s">
        <v>147</v>
      </c>
      <c r="G28" s="17" t="s">
        <v>148</v>
      </c>
      <c r="H28" s="17"/>
      <c r="I28" s="16"/>
      <c r="J28" s="17" t="s">
        <v>149</v>
      </c>
      <c r="K28" s="20"/>
      <c r="L28" s="20"/>
    </row>
    <row r="29" spans="1:12" s="8" customFormat="1" ht="90" x14ac:dyDescent="0.2">
      <c r="A29" s="16" t="s">
        <v>150</v>
      </c>
      <c r="B29" s="17" t="s">
        <v>151</v>
      </c>
      <c r="C29" s="16" t="s">
        <v>24</v>
      </c>
      <c r="D29" s="17" t="s">
        <v>113</v>
      </c>
      <c r="E29" s="17" t="s">
        <v>152</v>
      </c>
      <c r="F29" s="17" t="s">
        <v>153</v>
      </c>
      <c r="G29" s="17" t="s">
        <v>154</v>
      </c>
      <c r="H29" s="17"/>
      <c r="I29" s="16"/>
      <c r="J29" s="17" t="s">
        <v>155</v>
      </c>
      <c r="K29" s="20"/>
      <c r="L29" s="20"/>
    </row>
  </sheetData>
  <mergeCells count="7">
    <mergeCell ref="A25:J25"/>
    <mergeCell ref="A19:J19"/>
    <mergeCell ref="A1:J1"/>
    <mergeCell ref="A11:J11"/>
    <mergeCell ref="A22:J22"/>
    <mergeCell ref="A3:J3"/>
    <mergeCell ref="A15:J15"/>
  </mergeCells>
  <conditionalFormatting sqref="I4:I29">
    <cfRule type="cellIs" dxfId="2" priority="1" operator="equal">
      <formula>"OK"</formula>
    </cfRule>
    <cfRule type="cellIs" dxfId="1" priority="2" operator="equal">
      <formula>"FALLO"</formula>
    </cfRule>
    <cfRule type="cellIs" dxfId="0" priority="3" operator="equal">
      <formula>"BLOQUEADO"</formula>
    </cfRule>
  </conditionalFormatting>
  <dataValidations count="1">
    <dataValidation type="list" allowBlank="1" sqref="I4 I5 I6 I7 I8 I9 I10 I12 I13 I14 I16 I17 I18 I20 I21 I23 I24 I26 I27 I28 I29" xr:uid="{00000000-0002-0000-0000-000000000000}">
      <formula1>$M$1:$M$3</formula1>
    </dataValidation>
  </dataValidations>
  <pageMargins left="0.7" right="0.7" top="0.75" bottom="0.75" header="0.3" footer="0.3"/>
  <pageSetup orientation="portrait" horizontalDpi="4294967293"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
  <sheetViews>
    <sheetView workbookViewId="0"/>
  </sheetViews>
  <sheetFormatPr baseColWidth="10" defaultColWidth="9.140625" defaultRowHeight="15" x14ac:dyDescent="0.25"/>
  <cols>
    <col min="1" max="1" width="34" customWidth="1"/>
    <col min="2" max="6" width="13" customWidth="1"/>
  </cols>
  <sheetData>
    <row r="1" spans="1:6" ht="17.25" x14ac:dyDescent="0.3">
      <c r="A1" s="4" t="s">
        <v>156</v>
      </c>
    </row>
    <row r="3" spans="1:6" x14ac:dyDescent="0.25">
      <c r="A3" s="1" t="s">
        <v>157</v>
      </c>
      <c r="B3" s="1" t="s">
        <v>158</v>
      </c>
      <c r="C3" s="1" t="s">
        <v>0</v>
      </c>
      <c r="D3" s="1" t="s">
        <v>11</v>
      </c>
      <c r="E3" s="1" t="s">
        <v>13</v>
      </c>
      <c r="F3" s="1" t="s">
        <v>159</v>
      </c>
    </row>
    <row r="4" spans="1:6" x14ac:dyDescent="0.25">
      <c r="A4" t="s">
        <v>160</v>
      </c>
      <c r="B4">
        <f>COUNTIF('Suite de pruebas'!$A:$A,"TC-R*")</f>
        <v>7</v>
      </c>
      <c r="C4">
        <f>COUNTIFS('Suite de pruebas'!$A:$A,"TC-R*",'Suite de pruebas'!$I:$I,"OK")</f>
        <v>0</v>
      </c>
      <c r="D4">
        <f>COUNTIFS('Suite de pruebas'!$A:$A,"TC-R*",'Suite de pruebas'!$I:$I,"FALLO")</f>
        <v>0</v>
      </c>
      <c r="E4">
        <f>COUNTIFS('Suite de pruebas'!$A:$A,"TC-R*",'Suite de pruebas'!$I:$I,"BLOQUEADO")</f>
        <v>0</v>
      </c>
      <c r="F4">
        <f t="shared" ref="F4:F9" si="0">B4-C4-D4-E4</f>
        <v>7</v>
      </c>
    </row>
    <row r="5" spans="1:6" x14ac:dyDescent="0.25">
      <c r="A5" t="s">
        <v>161</v>
      </c>
      <c r="B5">
        <f>COUNTIF('Suite de pruebas'!$A:$A,"TC-L*")</f>
        <v>3</v>
      </c>
      <c r="C5">
        <f>COUNTIFS('Suite de pruebas'!$A:$A,"TC-L*",'Suite de pruebas'!$I:$I,"OK")</f>
        <v>0</v>
      </c>
      <c r="D5">
        <f>COUNTIFS('Suite de pruebas'!$A:$A,"TC-L*",'Suite de pruebas'!$I:$I,"FALLO")</f>
        <v>0</v>
      </c>
      <c r="E5">
        <f>COUNTIFS('Suite de pruebas'!$A:$A,"TC-L*",'Suite de pruebas'!$I:$I,"BLOQUEADO")</f>
        <v>0</v>
      </c>
      <c r="F5">
        <f t="shared" si="0"/>
        <v>3</v>
      </c>
    </row>
    <row r="6" spans="1:6" x14ac:dyDescent="0.25">
      <c r="A6" t="s">
        <v>162</v>
      </c>
      <c r="B6">
        <f>COUNTIF('Suite de pruebas'!$A:$A,"TC-P*")</f>
        <v>3</v>
      </c>
      <c r="C6">
        <f>COUNTIFS('Suite de pruebas'!$A:$A,"TC-P*",'Suite de pruebas'!$I:$I,"OK")</f>
        <v>0</v>
      </c>
      <c r="D6">
        <f>COUNTIFS('Suite de pruebas'!$A:$A,"TC-P*",'Suite de pruebas'!$I:$I,"FALLO")</f>
        <v>0</v>
      </c>
      <c r="E6">
        <f>COUNTIFS('Suite de pruebas'!$A:$A,"TC-P*",'Suite de pruebas'!$I:$I,"BLOQUEADO")</f>
        <v>0</v>
      </c>
      <c r="F6">
        <f t="shared" si="0"/>
        <v>3</v>
      </c>
    </row>
    <row r="7" spans="1:6" x14ac:dyDescent="0.25">
      <c r="A7" t="s">
        <v>163</v>
      </c>
      <c r="B7">
        <f>COUNTIF('Suite de pruebas'!$A:$A,"TC-V*")</f>
        <v>2</v>
      </c>
      <c r="C7">
        <f>COUNTIFS('Suite de pruebas'!$A:$A,"TC-V*",'Suite de pruebas'!$I:$I,"OK")</f>
        <v>0</v>
      </c>
      <c r="D7">
        <f>COUNTIFS('Suite de pruebas'!$A:$A,"TC-V*",'Suite de pruebas'!$I:$I,"FALLO")</f>
        <v>0</v>
      </c>
      <c r="E7">
        <f>COUNTIFS('Suite de pruebas'!$A:$A,"TC-V*",'Suite de pruebas'!$I:$I,"BLOQUEADO")</f>
        <v>0</v>
      </c>
      <c r="F7">
        <f t="shared" si="0"/>
        <v>2</v>
      </c>
    </row>
    <row r="8" spans="1:6" x14ac:dyDescent="0.25">
      <c r="A8" t="s">
        <v>164</v>
      </c>
      <c r="B8">
        <f>COUNTIF('Suite de pruebas'!$A:$A,"TC-C*")</f>
        <v>2</v>
      </c>
      <c r="C8">
        <f>COUNTIFS('Suite de pruebas'!$A:$A,"TC-C*",'Suite de pruebas'!$I:$I,"OK")</f>
        <v>0</v>
      </c>
      <c r="D8">
        <f>COUNTIFS('Suite de pruebas'!$A:$A,"TC-C*",'Suite de pruebas'!$I:$I,"FALLO")</f>
        <v>0</v>
      </c>
      <c r="E8">
        <f>COUNTIFS('Suite de pruebas'!$A:$A,"TC-C*",'Suite de pruebas'!$I:$I,"BLOQUEADO")</f>
        <v>0</v>
      </c>
      <c r="F8">
        <f t="shared" si="0"/>
        <v>2</v>
      </c>
    </row>
    <row r="9" spans="1:6" x14ac:dyDescent="0.25">
      <c r="A9" t="s">
        <v>165</v>
      </c>
      <c r="B9">
        <f>COUNTIF('Suite de pruebas'!$A:$A,"TC-N*")</f>
        <v>4</v>
      </c>
      <c r="C9">
        <f>COUNTIFS('Suite de pruebas'!$A:$A,"TC-N*",'Suite de pruebas'!$I:$I,"OK")</f>
        <v>0</v>
      </c>
      <c r="D9">
        <f>COUNTIFS('Suite de pruebas'!$A:$A,"TC-N*",'Suite de pruebas'!$I:$I,"FALLO")</f>
        <v>0</v>
      </c>
      <c r="E9">
        <f>COUNTIFS('Suite de pruebas'!$A:$A,"TC-N*",'Suite de pruebas'!$I:$I,"BLOQUEADO")</f>
        <v>0</v>
      </c>
      <c r="F9">
        <f t="shared" si="0"/>
        <v>4</v>
      </c>
    </row>
    <row r="10" spans="1:6" x14ac:dyDescent="0.25">
      <c r="A10" s="5" t="s">
        <v>166</v>
      </c>
      <c r="B10" s="5">
        <f>SUM(B4:B9)</f>
        <v>21</v>
      </c>
      <c r="C10" s="5">
        <f>SUM(C4:C9)</f>
        <v>0</v>
      </c>
      <c r="D10" s="5">
        <f>SUM(D4:D9)</f>
        <v>0</v>
      </c>
      <c r="E10" s="5">
        <f>SUM(E4:E9)</f>
        <v>0</v>
      </c>
      <c r="F10" s="5">
        <f>SUM(F4:F9)</f>
        <v>21</v>
      </c>
    </row>
    <row r="12" spans="1:6" x14ac:dyDescent="0.25">
      <c r="A12" s="5" t="s">
        <v>167</v>
      </c>
      <c r="B12" s="6">
        <f>IF(B10=0,0,(C10+D10+E10)/B10)</f>
        <v>0</v>
      </c>
    </row>
    <row r="13" spans="1:6" x14ac:dyDescent="0.25">
      <c r="A13" s="5" t="s">
        <v>168</v>
      </c>
      <c r="B13" s="6">
        <f>IF((C10+D10+E10)=0,0,C10/(C10+D10+E10))</f>
        <v>0</v>
      </c>
    </row>
    <row r="16" spans="1:6" x14ac:dyDescent="0.25">
      <c r="A16" s="5" t="s">
        <v>169</v>
      </c>
    </row>
    <row r="17" spans="1:1" x14ac:dyDescent="0.25">
      <c r="A17" s="7" t="s">
        <v>170</v>
      </c>
    </row>
    <row r="18" spans="1:1" x14ac:dyDescent="0.25">
      <c r="A18" s="7" t="s">
        <v>171</v>
      </c>
    </row>
    <row r="19" spans="1:1" x14ac:dyDescent="0.25">
      <c r="A19" s="7" t="s">
        <v>172</v>
      </c>
    </row>
    <row r="20" spans="1:1" x14ac:dyDescent="0.25">
      <c r="A20" s="7" t="s">
        <v>173</v>
      </c>
    </row>
    <row r="21" spans="1:1" x14ac:dyDescent="0.25">
      <c r="A21" s="7" t="s">
        <v>174</v>
      </c>
    </row>
    <row r="22" spans="1:1" x14ac:dyDescent="0.25">
      <c r="A22" s="7" t="s">
        <v>175</v>
      </c>
    </row>
    <row r="23" spans="1:1" x14ac:dyDescent="0.25">
      <c r="A23" s="7" t="s">
        <v>176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Suite de pruebas</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Carmelo Mayen</dc:creator>
  <cp:lastModifiedBy>2210552 - JAVIER JOSE LUIS RIVERA PEREZ</cp:lastModifiedBy>
  <dcterms:created xsi:type="dcterms:W3CDTF">2015-06-05T18:19:34Z</dcterms:created>
  <dcterms:modified xsi:type="dcterms:W3CDTF">2026-10-17T01:58:46Z</dcterms:modified>
</cp:coreProperties>
</file>